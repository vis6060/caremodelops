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60\Downloads\"/>
    </mc:Choice>
  </mc:AlternateContent>
  <xr:revisionPtr revIDLastSave="0" documentId="13_ncr:1_{403709FB-6618-4B02-B2B0-CFB388A123BE}" xr6:coauthVersionLast="47" xr6:coauthVersionMax="47" xr10:uidLastSave="{00000000-0000-0000-0000-000000000000}"/>
  <bookViews>
    <workbookView xWindow="32205" yWindow="810" windowWidth="27975" windowHeight="19215" tabRatio="732" activeTab="6" xr2:uid="{00000000-000D-0000-FFFF-FFFF00000000}"/>
  </bookViews>
  <sheets>
    <sheet name="Scenario &amp; Weights" sheetId="1" r:id="rId1"/>
    <sheet name="Revenue Sensitivity" sheetId="2" r:id="rId2"/>
    <sheet name="Pilot Capacity" sheetId="3" r:id="rId3"/>
    <sheet name="Risk Register" sheetId="4" r:id="rId4"/>
    <sheet name="Investment Gates" sheetId="5" r:id="rId5"/>
    <sheet name="Evidence &amp; Sources" sheetId="6" r:id="rId6"/>
    <sheet name="Executive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E12" i="4"/>
  <c r="E11" i="4"/>
  <c r="E10" i="4"/>
  <c r="E9" i="4"/>
  <c r="E8" i="4"/>
  <c r="E7" i="4"/>
  <c r="E6" i="4"/>
  <c r="E5" i="4"/>
  <c r="E12" i="3"/>
  <c r="E8" i="3"/>
  <c r="E7" i="3"/>
  <c r="E6" i="3"/>
  <c r="E5" i="3"/>
  <c r="E11" i="3" s="1"/>
  <c r="B20" i="2"/>
  <c r="B4" i="2"/>
  <c r="B19" i="1"/>
  <c r="B20" i="1" s="1"/>
  <c r="D9" i="1"/>
  <c r="D11" i="1" s="1"/>
  <c r="F7" i="1"/>
  <c r="E7" i="1"/>
  <c r="F6" i="1"/>
  <c r="E6" i="1"/>
  <c r="F5" i="1"/>
  <c r="F9" i="1" s="1"/>
  <c r="E5" i="1"/>
  <c r="E9" i="1" s="1"/>
  <c r="B7" i="7" s="1"/>
  <c r="B9" i="7" l="1"/>
  <c r="B21" i="2"/>
  <c r="G11" i="2"/>
  <c r="F11" i="2"/>
  <c r="E11" i="2"/>
  <c r="D11" i="2"/>
  <c r="C11" i="2"/>
  <c r="F10" i="2"/>
  <c r="D10" i="2"/>
  <c r="G9" i="2"/>
  <c r="E9" i="2"/>
  <c r="G10" i="2"/>
  <c r="E10" i="2"/>
  <c r="C10" i="2"/>
  <c r="F9" i="2"/>
  <c r="D9" i="2"/>
  <c r="C9" i="2"/>
  <c r="E8" i="2"/>
  <c r="C8" i="2"/>
  <c r="F7" i="2"/>
  <c r="D7" i="2"/>
  <c r="G8" i="2"/>
  <c r="F8" i="2"/>
  <c r="D8" i="2"/>
  <c r="G7" i="2"/>
  <c r="E7" i="2"/>
  <c r="C7" i="2"/>
  <c r="B21" i="1"/>
  <c r="B8" i="7"/>
</calcChain>
</file>

<file path=xl/sharedStrings.xml><?xml version="1.0" encoding="utf-8"?>
<sst xmlns="http://schemas.openxmlformats.org/spreadsheetml/2006/main" count="302" uniqueCount="256">
  <si>
    <t>M6.6 | Scenario-weighted financial lens</t>
  </si>
  <si>
    <t>All M6.2 numbers are modeled API billings, not actual revenue. Weights below are purely illustrative judgment calls.</t>
  </si>
  <si>
    <t>Scenario</t>
  </si>
  <si>
    <t>Year-1 API billings ($)</t>
  </si>
  <si>
    <t>Year-1 after-referral-fee ($)</t>
  </si>
  <si>
    <t>Illustrative weight</t>
  </si>
  <si>
    <t>Weighted API billings ($)</t>
  </si>
  <si>
    <t>Weighted after-fee ($)</t>
  </si>
  <si>
    <t>Source</t>
  </si>
  <si>
    <t>Evidence grade</t>
  </si>
  <si>
    <t>Conservative</t>
  </si>
  <si>
    <t>M6.2 Executive Summary</t>
  </si>
  <si>
    <t>Unverified scenario</t>
  </si>
  <si>
    <t>Base</t>
  </si>
  <si>
    <t>Expansion</t>
  </si>
  <si>
    <t>ILLUSTRATIVE WEIGHTED TOTAL</t>
  </si>
  <si>
    <t>Weight validation</t>
  </si>
  <si>
    <t>Stress setting</t>
  </si>
  <si>
    <t>Value</t>
  </si>
  <si>
    <t>Reason / source</t>
  </si>
  <si>
    <t>Realized workflow volume factor</t>
  </si>
  <si>
    <t>Illustrative downside to M6.2 base forecast</t>
  </si>
  <si>
    <t>Realized negotiated price factor</t>
  </si>
  <si>
    <t>Illustrative additional realization sensitivity</t>
  </si>
  <si>
    <t>Base year-1 API billings ($)</t>
  </si>
  <si>
    <t>Downside-stressed base billings ($)</t>
  </si>
  <si>
    <t>Billings difference ($)</t>
  </si>
  <si>
    <t>Use either a weighted scenario view OR an explicit downside case for decisions. Do not stack risk factors on top of already-downside inputs without confirming they are independent.</t>
  </si>
  <si>
    <t>Revenue sensitivity | What moves the business case</t>
  </si>
  <si>
    <t>M6.2 base first-year API billings are stressed by independent changes in workflow volume and price realization.</t>
  </si>
  <si>
    <t>M6.2 base year-1 API billings ($)</t>
  </si>
  <si>
    <t>Volume factor × price factor</t>
  </si>
  <si>
    <t>A 25% shortfall in workflows and a 10% reduction in realized API pricing produce a different result from the published base case. This sensitivity is not a predictive demand distribution.</t>
  </si>
  <si>
    <t>Month-12 base paying ISVs</t>
  </si>
  <si>
    <t>Base Month-12 annualized API billings ($)</t>
  </si>
  <si>
    <t>Target annualized API billings ($)</t>
  </si>
  <si>
    <t>Required base-equivalent ISVs</t>
  </si>
  <si>
    <t>Required monthly workflow volume</t>
  </si>
  <si>
    <t>M6.2 base includes 30,000 monthly workflows per ISV at Month 12. 186 ISVs is a scale equivalence, not validated market penetration or a sales forecast.</t>
  </si>
  <si>
    <t>90-day exploratory capacity | Allocation, not authorization</t>
  </si>
  <si>
    <t>Editable staff-time and fully loaded cost *hypotheses*; Anthropic finance must replace every assumed rate.</t>
  </si>
  <si>
    <t>Workstream</t>
  </si>
  <si>
    <t>FTE fraction</t>
  </si>
  <si>
    <t>Months</t>
  </si>
  <si>
    <t>Illustrative loaded cost / FTE-month ($)</t>
  </si>
  <si>
    <t>Modeled 90-day resource cost ($)</t>
  </si>
  <si>
    <t>Evidence to deliver</t>
  </si>
  <si>
    <t>Owner confirmed?</t>
  </si>
  <si>
    <t>Rate status</t>
  </si>
  <si>
    <t>Product / market discovery</t>
  </si>
  <si>
    <t>External buyer/developer research</t>
  </si>
  <si>
    <t>No</t>
  </si>
  <si>
    <t>Illustrative only</t>
  </si>
  <si>
    <t>Developer relations / ISV</t>
  </si>
  <si>
    <t>Developer onboarding and workflow validation</t>
  </si>
  <si>
    <t>Solutions / evaluation eng.</t>
  </si>
  <si>
    <t>Paired benchmark and platform fit</t>
  </si>
  <si>
    <t>Privacy / enterprise review</t>
  </si>
  <si>
    <t>BAA, channel and data-flow gate</t>
  </si>
  <si>
    <t>Incremental API / test spend ($)</t>
  </si>
  <si>
    <t>Estimated capacity envelope ($)</t>
  </si>
  <si>
    <t>FTE-month equivalents</t>
  </si>
  <si>
    <t>Authorization status</t>
  </si>
  <si>
    <t>NOT AUTHORIZED</t>
  </si>
  <si>
    <t>Decision</t>
  </si>
  <si>
    <t>Requested authorization</t>
  </si>
  <si>
    <t>Not authorized</t>
  </si>
  <si>
    <t>0–90 day validation</t>
  </si>
  <si>
    <t>Bounded exploration / capacity review</t>
  </si>
  <si>
    <t>Large integration build or commercial launch</t>
  </si>
  <si>
    <t>90–180 day expansion</t>
  </si>
  <si>
    <t>Only if gates pass</t>
  </si>
  <si>
    <t>Production PHI without approvals</t>
  </si>
  <si>
    <t>Risk-adjusted investment decision | Eight material risks</t>
  </si>
  <si>
    <t>Scores are analyst judgments; likelihood is not a measured event probability.</t>
  </si>
  <si>
    <t>Risk</t>
  </si>
  <si>
    <t>Primary exposure</t>
  </si>
  <si>
    <t>Likelihood (1-5)</t>
  </si>
  <si>
    <t>Impact (1-5)</t>
  </si>
  <si>
    <t>Risk priority</t>
  </si>
  <si>
    <t>Mitigation / evidence</t>
  </si>
  <si>
    <t>Stop or escalation trigger</t>
  </si>
  <si>
    <t>Status</t>
  </si>
  <si>
    <t>No external buyer demand</t>
  </si>
  <si>
    <t>Revenue / product-market fit</t>
  </si>
  <si>
    <t>6–8 discovery interviews, named sponsor</t>
  </si>
  <si>
    <t>No credible buyer / workflow sponsor after outreach</t>
  </si>
  <si>
    <t>Unvalidated</t>
  </si>
  <si>
    <t>Low recurring token volume</t>
  </si>
  <si>
    <t>Growth / monetization</t>
  </si>
  <si>
    <t>Observe volume and total cost per accepted workflow</t>
  </si>
  <si>
    <t>No sustainable usage at customer ROI</t>
  </si>
  <si>
    <t>Incumbent AI differentiation</t>
  </si>
  <si>
    <t>Competitive</t>
  </si>
  <si>
    <t>Blind matched eval against GPT/Gemini/no-AI</t>
  </si>
  <si>
    <t>No differentiation or inferior safety/cost</t>
  </si>
  <si>
    <t>Clinical safety / intended use</t>
  </si>
  <si>
    <t>Patient risk / regulatory</t>
  </si>
  <si>
    <t>High-severity eval, clinician signoff, intended-use review</t>
  </si>
  <si>
    <t>Any unresolved high-severity failure</t>
  </si>
  <si>
    <t>PHI + cloud channel eligibility</t>
  </si>
  <si>
    <t>Legal / data processing</t>
  </si>
  <si>
    <t>Validate BAA, service/operator, tools and subprocessors</t>
  </si>
  <si>
    <t>No approved end-to-end PHI architecture</t>
  </si>
  <si>
    <t>Partner/distribution dependency</t>
  </si>
  <si>
    <t>GTM / control</t>
  </si>
  <si>
    <t>Direct API first, assess channel after demand</t>
  </si>
  <si>
    <t>Exclusive access or unexpected channel costs</t>
  </si>
  <si>
    <t>Billing / revenue attribution</t>
  </si>
  <si>
    <t>Financial controls</t>
  </si>
  <si>
    <t>Actual event reconciliation before live billing</t>
  </si>
  <si>
    <t>Unexplained metering/settlement discrepancies</t>
  </si>
  <si>
    <t>Unvalidated internal economics</t>
  </si>
  <si>
    <t>Investment efficiency</t>
  </si>
  <si>
    <t>Finance-owned inference and loaded cost model</t>
  </si>
  <si>
    <t>Negative contribution at observed workloads</t>
  </si>
  <si>
    <t>Gated executive decision | GO / ITERATE / STOP</t>
  </si>
  <si>
    <t>Day 90 can validate whether to fund a controlled pilot; paid production conversion belongs at Day 180 or later.</t>
  </si>
  <si>
    <t>Gate</t>
  </si>
  <si>
    <t>Proposed evidence threshold</t>
  </si>
  <si>
    <t>GO</t>
  </si>
  <si>
    <t>ITERATE</t>
  </si>
  <si>
    <t>STOP</t>
  </si>
  <si>
    <t>Owner</t>
  </si>
  <si>
    <t>Evidence status</t>
  </si>
  <si>
    <t>Buyer / developer demand</t>
  </si>
  <si>
    <t>At least 6–8 interviews, 2 specific frequent workflows with documented buyer/sponsor</t>
  </si>
  <si>
    <t>Real sponsor and recurring problem</t>
  </si>
  <si>
    <t>Promising but workflow/buyer unclear</t>
  </si>
  <si>
    <t>No validated sponsor or ROI</t>
  </si>
  <si>
    <t>GTM / PM</t>
  </si>
  <si>
    <t>Not yet observed</t>
  </si>
  <si>
    <t>Pending</t>
  </si>
  <si>
    <t>Matched model evaluation</t>
  </si>
  <si>
    <t>Blinded current-model + no-AI comparator; predefined clinically reviewed error, traceability and review-time metrics</t>
  </si>
  <si>
    <t>Acceptable error and differentiated ROI</t>
  </si>
  <si>
    <t>Some quality/cost questions remain</t>
  </si>
  <si>
    <t>Unacceptable serious error or no value</t>
  </si>
  <si>
    <t>Evaluation / Clinical</t>
  </si>
  <si>
    <t>Economics</t>
  </si>
  <si>
    <t>Observed tokens, clinician minutes and workflow volumes; internal servicing cost where available</t>
  </si>
  <si>
    <t>Attractive ROI and plausible recurring use</t>
  </si>
  <si>
    <t>Need narrower use case or pricing</t>
  </si>
  <si>
    <t>Structurally uneconomic at realistic usage</t>
  </si>
  <si>
    <t>PM / Finance</t>
  </si>
  <si>
    <t>Enterprise deployment</t>
  </si>
  <si>
    <t>Actual channel/operator/BAA/feature coverage, data flows and safety scope reviewed</t>
  </si>
  <si>
    <t>Approved architecture for planned test</t>
  </si>
  <si>
    <t>Only synthetic data until approvals</t>
  </si>
  <si>
    <t>PHI handling blocked / unacceptable risk</t>
  </si>
  <si>
    <t>Security / Legal</t>
  </si>
  <si>
    <t>Partner commercialization</t>
  </si>
  <si>
    <t>Defined direct/cloud accounting without duplicate billings; no unapproved resell terms</t>
  </si>
  <si>
    <t>Clear accountable buyer and route</t>
  </si>
  <si>
    <t>Procurement route pending</t>
  </si>
  <si>
    <t>Channel cannot support target customer</t>
  </si>
  <si>
    <t>Partnerships</t>
  </si>
  <si>
    <t>Day-180 production proof</t>
  </si>
  <si>
    <t>Real paid non-test consumption, retention measured in mature cohorts</t>
  </si>
  <si>
    <t>Scale pathway credible</t>
  </si>
  <si>
    <t>Iterate onboarding/offer</t>
  </si>
  <si>
    <t>No paid usage or material risk</t>
  </si>
  <si>
    <t>GTM / Sales</t>
  </si>
  <si>
    <t>M6.6 evidence inventory | What is known versus hypothesized</t>
  </si>
  <si>
    <t>Claim class</t>
  </si>
  <si>
    <t>Evidence</t>
  </si>
  <si>
    <t>Limitation</t>
  </si>
  <si>
    <t>Source path / link</t>
  </si>
  <si>
    <t>Last checked</t>
  </si>
  <si>
    <t>Data type</t>
  </si>
  <si>
    <t>Completed local build</t>
  </si>
  <si>
    <t>ChartGround M1–M5: API, metering, budget, invoicing simulation, dashboard; 151 offline tests</t>
  </si>
  <si>
    <t>No paid customer, deployment or enterprise approval</t>
  </si>
  <si>
    <t>ChartGround M1–M5 milestone log</t>
  </si>
  <si>
    <t>Locally tested</t>
  </si>
  <si>
    <t>Project</t>
  </si>
  <si>
    <t>2026-10-29</t>
  </si>
  <si>
    <t>Observed local</t>
  </si>
  <si>
    <t>Market selection</t>
  </si>
  <si>
    <t>Clinical workflow ISVs lead weighted M6.1 scorecard; oncology first specialty</t>
  </si>
  <si>
    <t>Secondary research; overlapped categories and subjective weights</t>
  </si>
  <si>
    <t>ChartGround_M6_1_Healthcare_Market_Selection_Analysis.xlsx</t>
  </si>
  <si>
    <t>Analyst scored</t>
  </si>
  <si>
    <t>M6.1</t>
  </si>
  <si>
    <t>Research / hypothesis</t>
  </si>
  <si>
    <t>Modeled billings</t>
  </si>
  <si>
    <t>First-year $1.5K / $125.4K / $2.384M conservative/base/expansion</t>
  </si>
  <si>
    <t>Assumed adoption, workflows, model mix, token sizes and discounts</t>
  </si>
  <si>
    <t>ChartGround_M6_2_Healthcare_API_Monetization_Revenue_Model.xlsx</t>
  </si>
  <si>
    <t>Model only</t>
  </si>
  <si>
    <t>M6.2</t>
  </si>
  <si>
    <t>Hypothesis</t>
  </si>
  <si>
    <t>Developer funnel</t>
  </si>
  <si>
    <t>M6.3 proposes first call -&gt; evaluation -&gt; pilot -&gt; paying production</t>
  </si>
  <si>
    <t>No observed external ISV conversion cohort</t>
  </si>
  <si>
    <t>ChartGround_M6_3_Developer_Adoption_Funnel_and_Roadmap.xlsx</t>
  </si>
  <si>
    <t>Proposed targets</t>
  </si>
  <si>
    <t>M6.3</t>
  </si>
  <si>
    <t>Buyer landscape</t>
  </si>
  <si>
    <t>20 real researched companies; six discovery hypotheses</t>
  </si>
  <si>
    <t>No outreach, buyer interest or Claude model adoption verified</t>
  </si>
  <si>
    <t>ChartGround_M6_4_Healthcare_Target_Accounts_Enterprise_Readiness.xlsx</t>
  </si>
  <si>
    <t>Public research</t>
  </si>
  <si>
    <t>M6.4</t>
  </si>
  <si>
    <t>Secondary research</t>
  </si>
  <si>
    <t>Competition / partners</t>
  </si>
  <si>
    <t>Citation feature and cloud distribution pathways; comparison benchmark required</t>
  </si>
  <si>
    <t>No head-to-head current-model evaluation and no new signed partners</t>
  </si>
  <si>
    <t>ChartGround_M6_5_Competitive_Positioning_Partner_Strategy.xlsx</t>
  </si>
  <si>
    <t>M6.5</t>
  </si>
  <si>
    <t>Native citation caveat</t>
  </si>
  <si>
    <t>Claude citation blocks and strict structured outputs incompatible in same request</t>
  </si>
  <si>
    <t>Architectural solution must be tested</t>
  </si>
  <si>
    <t>https://platform.claude.com/docs/en/build-with-claude/citations</t>
  </si>
  <si>
    <t>Official docs</t>
  </si>
  <si>
    <t>Anthropic</t>
  </si>
  <si>
    <t>External</t>
  </si>
  <si>
    <t>Deployment gate</t>
  </si>
  <si>
    <t>Different BAA/channel and eligible-feature requirements apply</t>
  </si>
  <si>
    <t>Must verify actual signed agreements and architecture</t>
  </si>
  <si>
    <t>https://docs.aws.amazon.com/claude-platform/latest/userguide/cpa-vs-bedrock.html</t>
  </si>
  <si>
    <t>AWS</t>
  </si>
  <si>
    <t>Existing partner route</t>
  </si>
  <si>
    <t>TCS / Anthropic regulated-industry partnership publicly announced</t>
  </si>
  <si>
    <t>Does not constitute a ChartGround partner relationship</t>
  </si>
  <si>
    <t>https://www.anthropic.com/news/tcs-anthropic-partnership</t>
  </si>
  <si>
    <t>Official announcement</t>
  </si>
  <si>
    <t>M6.6 | Executive decision dashboard</t>
  </si>
  <si>
    <t>Decision lens</t>
  </si>
  <si>
    <t>Key value</t>
  </si>
  <si>
    <t>Interpretation</t>
  </si>
  <si>
    <t>Evidence basis</t>
  </si>
  <si>
    <t>Illustrative adoption and consumption only</t>
  </si>
  <si>
    <t>M6.2 base month-12 annualized ($)</t>
  </si>
  <si>
    <t>Run rate, not realized year-one revenue</t>
  </si>
  <si>
    <t>Illustrative scenario-weighted year-1 billings ($)</t>
  </si>
  <si>
    <t>60%/35%/5% analyst weights; not empirical likelihoods</t>
  </si>
  <si>
    <t>Downside-stressed base year-1 billings ($)</t>
  </si>
  <si>
    <t>75% workflow × 90% realized price sensitivity</t>
  </si>
  <si>
    <t>M6.2 $1M run-rate ISV equivalence</t>
  </si>
  <si>
    <t>Assumes M6.2 base per-ISV intensity, not sales forecast</t>
  </si>
  <si>
    <t>Investment stance</t>
  </si>
  <si>
    <t>Authorization boundary</t>
  </si>
  <si>
    <t>Validation gate</t>
  </si>
  <si>
    <t>Approve now</t>
  </si>
  <si>
    <t>Discovery, blinded evaluation, channel/security review</t>
  </si>
  <si>
    <t>Named accountable owner; bounded capacity / Finance review</t>
  </si>
  <si>
    <t>Withhold</t>
  </si>
  <si>
    <t>Broad launch, reseller commitments, PHI deployment</t>
  </si>
  <si>
    <t>No external buyer, validated performance or end-to-end approval yet</t>
  </si>
  <si>
    <t>Day 90 decision</t>
  </si>
  <si>
    <t>GO / ITERATE / STOP pilot funding</t>
  </si>
  <si>
    <t>Based on interview, benchmark and economics evidence</t>
  </si>
  <si>
    <t>Day 180 decision</t>
  </si>
  <si>
    <t>Paid-production and sustained usage assessment</t>
  </si>
  <si>
    <t>Only real production events—not ChartGround demos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</si>
</sst>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;\-"/>
    <numFmt numFmtId="165" formatCode="0.0%;[Red]\(0.0%\);\-"/>
    <numFmt numFmtId="166" formatCode="#,##0;[Red]\(#,##0\);\-"/>
  </numFmts>
  <fonts count="9">
    <font>
      <sz val="11"/>
      <name val="Carlito"/>
    </font>
    <font>
      <b/>
      <sz val="17"/>
      <color rgb="FFFFFFFF"/>
      <name val="Carlito"/>
    </font>
    <font>
      <sz val="10"/>
      <color rgb="FF202D2A"/>
      <name val="Carlito"/>
    </font>
    <font>
      <b/>
      <sz val="10"/>
      <color rgb="FFFFFFFF"/>
      <name val="Carlito"/>
    </font>
    <font>
      <sz val="11"/>
      <color rgb="FF0000FF"/>
      <name val="Carlito"/>
    </font>
    <font>
      <sz val="11"/>
      <color rgb="FF202D2A"/>
      <name val="Carlito"/>
    </font>
    <font>
      <b/>
      <sz val="11"/>
      <color rgb="FF225950"/>
      <name val="Carlito"/>
    </font>
    <font>
      <b/>
      <sz val="11"/>
      <color rgb="FF202D2A"/>
      <name val="Carlito"/>
    </font>
    <font>
      <sz val="9"/>
      <color rgb="FF6B747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02828"/>
      </patternFill>
    </fill>
    <fill>
      <patternFill patternType="solid">
        <fgColor rgb="FFE6F0EB"/>
      </patternFill>
    </fill>
    <fill>
      <patternFill patternType="solid">
        <fgColor rgb="FF225950"/>
      </patternFill>
    </fill>
    <fill>
      <patternFill patternType="solid">
        <fgColor rgb="FFFFF1C7"/>
      </patternFill>
    </fill>
    <fill>
      <patternFill patternType="solid">
        <fgColor rgb="FFF7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Font="1" applyFill="1" applyAlignment="1">
      <alignment vertical="center" wrapText="1"/>
    </xf>
    <xf numFmtId="164" fontId="4" fillId="5" borderId="0" xfId="0" applyNumberFormat="1" applyFont="1" applyFill="1"/>
    <xf numFmtId="165" fontId="4" fillId="5" borderId="0" xfId="0" applyNumberFormat="1" applyFont="1" applyFill="1"/>
    <xf numFmtId="164" fontId="5" fillId="0" borderId="0" xfId="0" applyNumberFormat="1" applyFont="1"/>
    <xf numFmtId="0" fontId="6" fillId="3" borderId="0" xfId="0" applyFont="1" applyFill="1"/>
    <xf numFmtId="165" fontId="7" fillId="3" borderId="0" xfId="0" applyNumberFormat="1" applyFont="1" applyFill="1"/>
    <xf numFmtId="164" fontId="7" fillId="3" borderId="0" xfId="0" applyNumberFormat="1" applyFont="1" applyFill="1"/>
    <xf numFmtId="166" fontId="4" fillId="5" borderId="0" xfId="0" applyNumberFormat="1" applyFont="1" applyFill="1"/>
    <xf numFmtId="166" fontId="5" fillId="0" borderId="0" xfId="0" applyNumberFormat="1" applyFont="1"/>
    <xf numFmtId="0" fontId="4" fillId="5" borderId="0" xfId="0" applyFont="1" applyFill="1"/>
    <xf numFmtId="0" fontId="0" fillId="0" borderId="0" xfId="0" applyAlignment="1">
      <alignment wrapText="1"/>
    </xf>
    <xf numFmtId="166" fontId="4" fillId="5" borderId="0" xfId="0" applyNumberFormat="1" applyFont="1" applyFill="1" applyAlignment="1">
      <alignment wrapText="1"/>
    </xf>
    <xf numFmtId="166" fontId="5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8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selection activeCell="A23" sqref="A23:H23"/>
    </sheetView>
  </sheetViews>
  <sheetFormatPr defaultRowHeight="14.25"/>
  <cols>
    <col min="1" max="1" width="22" customWidth="1"/>
    <col min="2" max="3" width="24" customWidth="1"/>
    <col min="4" max="4" width="15" customWidth="1"/>
    <col min="5" max="5" width="21" customWidth="1"/>
    <col min="6" max="7" width="23" customWidth="1"/>
    <col min="8" max="8" width="19" customWidth="1"/>
  </cols>
  <sheetData>
    <row r="1" spans="1:8" ht="24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4" customHeight="1">
      <c r="A2" s="15" t="s">
        <v>1</v>
      </c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>
      <c r="A5" t="s">
        <v>10</v>
      </c>
      <c r="B5" s="2">
        <v>1523.988193125</v>
      </c>
      <c r="C5" s="2">
        <v>1516.3682521593751</v>
      </c>
      <c r="D5" s="3">
        <v>0.6</v>
      </c>
      <c r="E5" s="4">
        <f>B5*D5</f>
        <v>914.39291587499997</v>
      </c>
      <c r="F5" s="4">
        <f>C5*D5</f>
        <v>909.82095129562504</v>
      </c>
      <c r="G5" t="s">
        <v>11</v>
      </c>
      <c r="H5" t="s">
        <v>12</v>
      </c>
    </row>
    <row r="6" spans="1:8" ht="24" customHeight="1">
      <c r="A6" t="s">
        <v>13</v>
      </c>
      <c r="B6" s="2">
        <v>125411.93634989251</v>
      </c>
      <c r="C6" s="2">
        <v>123154.52149559444</v>
      </c>
      <c r="D6" s="3">
        <v>0.35</v>
      </c>
      <c r="E6" s="4">
        <f>B6*D6</f>
        <v>43894.177722462373</v>
      </c>
      <c r="F6" s="4">
        <f>C6*D6</f>
        <v>43104.082523458048</v>
      </c>
      <c r="G6" t="s">
        <v>11</v>
      </c>
      <c r="H6" t="s">
        <v>12</v>
      </c>
    </row>
    <row r="7" spans="1:8" ht="24" customHeight="1">
      <c r="A7" t="s">
        <v>14</v>
      </c>
      <c r="B7" s="2">
        <v>2384434.0665782206</v>
      </c>
      <c r="C7" s="2">
        <v>2289056.7039150917</v>
      </c>
      <c r="D7" s="3">
        <v>0.05</v>
      </c>
      <c r="E7" s="4">
        <f>B7*D7</f>
        <v>119221.70332891104</v>
      </c>
      <c r="F7" s="4">
        <f>C7*D7</f>
        <v>114452.8351957546</v>
      </c>
      <c r="G7" t="s">
        <v>11</v>
      </c>
      <c r="H7" t="s">
        <v>12</v>
      </c>
    </row>
    <row r="8" spans="1:8" ht="24" customHeight="1"/>
    <row r="9" spans="1:8" ht="30" customHeight="1">
      <c r="A9" s="5" t="s">
        <v>15</v>
      </c>
      <c r="B9" s="5"/>
      <c r="C9" s="5"/>
      <c r="D9" s="6">
        <f>SUM(D5:D7)</f>
        <v>1</v>
      </c>
      <c r="E9" s="7">
        <f>SUM(E5:E7)</f>
        <v>164030.27396724842</v>
      </c>
      <c r="F9" s="7">
        <f>SUM(F5:F7)</f>
        <v>158466.73867050826</v>
      </c>
    </row>
    <row r="10" spans="1:8" ht="24" customHeight="1"/>
    <row r="11" spans="1:8" ht="24" customHeight="1">
      <c r="A11" t="s">
        <v>16</v>
      </c>
      <c r="D11" t="str">
        <f>IF(ABS(D9-1)&lt;0.00001,"PASS","FIX: weights must sum to 100%")</f>
        <v>PASS</v>
      </c>
    </row>
    <row r="12" spans="1:8" ht="24" customHeight="1"/>
    <row r="13" spans="1:8" ht="36" customHeight="1">
      <c r="A13" s="16"/>
      <c r="B13" s="16"/>
      <c r="C13" s="16"/>
      <c r="D13" s="16"/>
      <c r="E13" s="16"/>
      <c r="F13" s="16"/>
      <c r="G13" s="16"/>
      <c r="H13" s="16"/>
    </row>
    <row r="14" spans="1:8" ht="24" customHeight="1"/>
    <row r="15" spans="1:8" ht="24" customHeight="1"/>
    <row r="16" spans="1:8" ht="30" customHeight="1">
      <c r="A16" s="1" t="s">
        <v>17</v>
      </c>
      <c r="B16" s="1" t="s">
        <v>18</v>
      </c>
      <c r="C16" s="1" t="s">
        <v>19</v>
      </c>
      <c r="D16" s="1"/>
      <c r="E16" s="1"/>
      <c r="F16" s="1"/>
      <c r="G16" s="1"/>
      <c r="H16" s="1"/>
    </row>
    <row r="17" spans="1:8" ht="24" customHeight="1">
      <c r="A17" t="s">
        <v>20</v>
      </c>
      <c r="B17" s="3">
        <v>0.75</v>
      </c>
      <c r="C17" t="s">
        <v>21</v>
      </c>
    </row>
    <row r="18" spans="1:8" ht="24" customHeight="1">
      <c r="A18" t="s">
        <v>22</v>
      </c>
      <c r="B18" s="3">
        <v>0.9</v>
      </c>
      <c r="C18" t="s">
        <v>23</v>
      </c>
    </row>
    <row r="19" spans="1:8" ht="24" customHeight="1">
      <c r="A19" t="s">
        <v>24</v>
      </c>
      <c r="B19" s="4">
        <f>B6</f>
        <v>125411.93634989251</v>
      </c>
    </row>
    <row r="20" spans="1:8" ht="24" customHeight="1">
      <c r="A20" t="s">
        <v>25</v>
      </c>
      <c r="B20" s="4">
        <f>B19*B17*B18</f>
        <v>84653.057036177444</v>
      </c>
    </row>
    <row r="21" spans="1:8" ht="24" customHeight="1">
      <c r="A21" t="s">
        <v>26</v>
      </c>
      <c r="B21" s="4">
        <f>B20-B19</f>
        <v>-40758.879313715064</v>
      </c>
    </row>
    <row r="22" spans="1:8" ht="24" customHeight="1"/>
    <row r="23" spans="1:8" ht="36" customHeight="1">
      <c r="A23" s="16" t="s">
        <v>27</v>
      </c>
      <c r="B23" s="16"/>
      <c r="C23" s="16"/>
      <c r="D23" s="16"/>
      <c r="E23" s="16"/>
      <c r="F23" s="16"/>
      <c r="G23" s="16"/>
      <c r="H23" s="16"/>
    </row>
    <row r="24" spans="1:8" ht="24" customHeight="1"/>
    <row r="25" spans="1:8" ht="24" customHeight="1"/>
    <row r="26" spans="1:8" ht="24" customHeight="1"/>
    <row r="27" spans="1:8" ht="24" customHeight="1"/>
    <row r="28" spans="1:8" ht="24" customHeight="1"/>
    <row r="29" spans="1:8" ht="24" customHeight="1"/>
    <row r="30" spans="1:8" ht="24" customHeight="1"/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4">
    <mergeCell ref="A1:H1"/>
    <mergeCell ref="A2:H2"/>
    <mergeCell ref="A13:H13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workbookViewId="0">
      <selection sqref="A1:H1"/>
    </sheetView>
  </sheetViews>
  <sheetFormatPr defaultRowHeight="14.25"/>
  <cols>
    <col min="1" max="1" width="28" customWidth="1"/>
    <col min="2" max="2" width="20" customWidth="1"/>
    <col min="3" max="7" width="18" customWidth="1"/>
    <col min="8" max="8" width="21" customWidth="1"/>
  </cols>
  <sheetData>
    <row r="1" spans="1:8" ht="24" customHeight="1">
      <c r="A1" s="14" t="s">
        <v>28</v>
      </c>
      <c r="B1" s="14"/>
      <c r="C1" s="14"/>
      <c r="D1" s="14"/>
      <c r="E1" s="14"/>
      <c r="F1" s="14"/>
      <c r="G1" s="14"/>
      <c r="H1" s="14"/>
    </row>
    <row r="2" spans="1:8" ht="24" customHeight="1">
      <c r="A2" s="15" t="s">
        <v>29</v>
      </c>
      <c r="B2" s="15"/>
      <c r="C2" s="15"/>
      <c r="D2" s="15"/>
      <c r="E2" s="15"/>
      <c r="F2" s="15"/>
      <c r="G2" s="15"/>
      <c r="H2" s="15"/>
    </row>
    <row r="3" spans="1:8" ht="24" customHeight="1"/>
    <row r="4" spans="1:8" ht="24" customHeight="1">
      <c r="A4" t="s">
        <v>30</v>
      </c>
      <c r="B4" s="4">
        <f>'Scenario &amp; Weights'!B6</f>
        <v>125411.93634989251</v>
      </c>
    </row>
    <row r="5" spans="1:8" ht="24" customHeight="1"/>
    <row r="6" spans="1:8" ht="24" customHeight="1">
      <c r="A6" t="s">
        <v>31</v>
      </c>
      <c r="C6" s="3">
        <v>0.6</v>
      </c>
      <c r="D6" s="3">
        <v>0.75</v>
      </c>
      <c r="E6" s="3">
        <v>0.9</v>
      </c>
      <c r="F6" s="3">
        <v>1</v>
      </c>
      <c r="G6" s="3">
        <v>1.2</v>
      </c>
    </row>
    <row r="7" spans="1:8" ht="24" customHeight="1">
      <c r="B7" s="3">
        <v>0.5</v>
      </c>
      <c r="C7" s="4">
        <f t="shared" ref="C7:G11" si="0">$B$4*$B7*C$6</f>
        <v>37623.580904967748</v>
      </c>
      <c r="D7" s="4">
        <f t="shared" si="0"/>
        <v>47029.476131209689</v>
      </c>
      <c r="E7" s="4">
        <f t="shared" si="0"/>
        <v>56435.37135745163</v>
      </c>
      <c r="F7" s="4">
        <f t="shared" si="0"/>
        <v>62705.968174946254</v>
      </c>
      <c r="G7" s="4">
        <f t="shared" si="0"/>
        <v>75247.161809935496</v>
      </c>
    </row>
    <row r="8" spans="1:8" ht="24" customHeight="1">
      <c r="B8" s="3">
        <v>0.75</v>
      </c>
      <c r="C8" s="4">
        <f t="shared" si="0"/>
        <v>56435.371357451622</v>
      </c>
      <c r="D8" s="4">
        <f t="shared" si="0"/>
        <v>70544.21419681453</v>
      </c>
      <c r="E8" s="4">
        <f t="shared" si="0"/>
        <v>84653.057036177444</v>
      </c>
      <c r="F8" s="4">
        <f t="shared" si="0"/>
        <v>94058.952262419378</v>
      </c>
      <c r="G8" s="4">
        <f t="shared" si="0"/>
        <v>112870.74271490324</v>
      </c>
    </row>
    <row r="9" spans="1:8" ht="24" customHeight="1">
      <c r="B9" s="3">
        <v>1</v>
      </c>
      <c r="C9" s="4">
        <f t="shared" si="0"/>
        <v>75247.161809935496</v>
      </c>
      <c r="D9" s="4">
        <f t="shared" si="0"/>
        <v>94058.952262419378</v>
      </c>
      <c r="E9" s="4">
        <f t="shared" si="0"/>
        <v>112870.74271490326</v>
      </c>
      <c r="F9" s="4">
        <f t="shared" si="0"/>
        <v>125411.93634989251</v>
      </c>
      <c r="G9" s="4">
        <f t="shared" si="0"/>
        <v>150494.32361987099</v>
      </c>
    </row>
    <row r="10" spans="1:8" ht="24" customHeight="1">
      <c r="B10" s="3">
        <v>1.25</v>
      </c>
      <c r="C10" s="4">
        <f t="shared" si="0"/>
        <v>94058.952262419378</v>
      </c>
      <c r="D10" s="4">
        <f t="shared" si="0"/>
        <v>117573.69032802421</v>
      </c>
      <c r="E10" s="4">
        <f t="shared" si="0"/>
        <v>141088.42839362906</v>
      </c>
      <c r="F10" s="4">
        <f t="shared" si="0"/>
        <v>156764.92043736562</v>
      </c>
      <c r="G10" s="4">
        <f t="shared" si="0"/>
        <v>188117.90452483876</v>
      </c>
    </row>
    <row r="11" spans="1:8" ht="24" customHeight="1">
      <c r="B11" s="3">
        <v>1.5</v>
      </c>
      <c r="C11" s="4">
        <f t="shared" si="0"/>
        <v>112870.74271490324</v>
      </c>
      <c r="D11" s="4">
        <f t="shared" si="0"/>
        <v>141088.42839362906</v>
      </c>
      <c r="E11" s="4">
        <f t="shared" si="0"/>
        <v>169306.11407235489</v>
      </c>
      <c r="F11" s="4">
        <f t="shared" si="0"/>
        <v>188117.90452483876</v>
      </c>
      <c r="G11" s="4">
        <f t="shared" si="0"/>
        <v>225741.48542980649</v>
      </c>
    </row>
    <row r="12" spans="1:8" ht="24" customHeight="1"/>
    <row r="13" spans="1:8" ht="24" customHeight="1"/>
    <row r="14" spans="1:8" ht="36" customHeight="1">
      <c r="A14" s="16" t="s">
        <v>32</v>
      </c>
      <c r="B14" s="16"/>
      <c r="C14" s="16"/>
      <c r="D14" s="16"/>
      <c r="E14" s="16"/>
      <c r="F14" s="16"/>
      <c r="G14" s="16"/>
      <c r="H14" s="16"/>
    </row>
    <row r="15" spans="1:8" ht="24" customHeight="1"/>
    <row r="16" spans="1:8" ht="24" customHeight="1"/>
    <row r="17" spans="1:8" ht="24" customHeight="1">
      <c r="A17" t="s">
        <v>33</v>
      </c>
      <c r="B17" s="8">
        <v>50</v>
      </c>
    </row>
    <row r="18" spans="1:8" ht="24" customHeight="1">
      <c r="A18" t="s">
        <v>34</v>
      </c>
      <c r="B18" s="2">
        <v>268849.00349999999</v>
      </c>
    </row>
    <row r="19" spans="1:8" ht="24" customHeight="1">
      <c r="A19" t="s">
        <v>35</v>
      </c>
      <c r="B19" s="2">
        <v>1000000</v>
      </c>
    </row>
    <row r="20" spans="1:8" ht="24" customHeight="1">
      <c r="A20" t="s">
        <v>36</v>
      </c>
      <c r="B20" s="9">
        <f>ROUNDUP(B19/(B18/B17),0)</f>
        <v>186</v>
      </c>
    </row>
    <row r="21" spans="1:8" ht="24" customHeight="1">
      <c r="A21" t="s">
        <v>37</v>
      </c>
      <c r="B21" s="9">
        <f>B20*30000</f>
        <v>5580000</v>
      </c>
    </row>
    <row r="22" spans="1:8" ht="24" customHeight="1"/>
    <row r="23" spans="1:8" ht="36" customHeight="1">
      <c r="A23" s="16" t="s">
        <v>38</v>
      </c>
      <c r="B23" s="16"/>
      <c r="C23" s="16"/>
      <c r="D23" s="16"/>
      <c r="E23" s="16"/>
      <c r="F23" s="16"/>
      <c r="G23" s="16"/>
      <c r="H23" s="16"/>
    </row>
    <row r="24" spans="1:8" ht="24" customHeight="1"/>
    <row r="25" spans="1:8" ht="24" customHeight="1"/>
    <row r="26" spans="1:8" ht="24" customHeight="1"/>
    <row r="27" spans="1:8" ht="24" customHeight="1"/>
    <row r="28" spans="1:8" ht="24" customHeight="1"/>
    <row r="29" spans="1:8" ht="24" customHeight="1"/>
    <row r="30" spans="1:8" ht="24" customHeight="1"/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4">
    <mergeCell ref="A1:H1"/>
    <mergeCell ref="A2:H2"/>
    <mergeCell ref="A14:H14"/>
    <mergeCell ref="A23:H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workbookViewId="0">
      <selection activeCell="A15" sqref="A15:H15"/>
    </sheetView>
  </sheetViews>
  <sheetFormatPr defaultRowHeight="14.25"/>
  <cols>
    <col min="1" max="1" width="27" customWidth="1"/>
    <col min="2" max="2" width="19" customWidth="1"/>
    <col min="3" max="3" width="22" customWidth="1"/>
    <col min="4" max="4" width="21" customWidth="1"/>
    <col min="5" max="5" width="24" customWidth="1"/>
    <col min="6" max="6" width="26" customWidth="1"/>
    <col min="7" max="7" width="16" customWidth="1"/>
    <col min="8" max="8" width="20" customWidth="1"/>
  </cols>
  <sheetData>
    <row r="1" spans="1:8" ht="24" customHeight="1">
      <c r="A1" s="14" t="s">
        <v>39</v>
      </c>
      <c r="B1" s="14"/>
      <c r="C1" s="14"/>
      <c r="D1" s="14"/>
      <c r="E1" s="14"/>
      <c r="F1" s="14"/>
      <c r="G1" s="14"/>
      <c r="H1" s="14"/>
    </row>
    <row r="2" spans="1:8" ht="24" customHeight="1">
      <c r="A2" s="15" t="s">
        <v>40</v>
      </c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</row>
    <row r="5" spans="1:8" ht="24" customHeight="1">
      <c r="A5" t="s">
        <v>49</v>
      </c>
      <c r="B5" s="10">
        <v>0.5</v>
      </c>
      <c r="C5" s="10">
        <v>3</v>
      </c>
      <c r="D5" s="2">
        <v>30000</v>
      </c>
      <c r="E5" s="4">
        <f>B5*C5*D5</f>
        <v>45000</v>
      </c>
      <c r="F5" t="s">
        <v>50</v>
      </c>
      <c r="G5" t="s">
        <v>51</v>
      </c>
      <c r="H5" t="s">
        <v>52</v>
      </c>
    </row>
    <row r="6" spans="1:8" ht="24" customHeight="1">
      <c r="A6" t="s">
        <v>53</v>
      </c>
      <c r="B6" s="10">
        <v>0.5</v>
      </c>
      <c r="C6" s="10">
        <v>3</v>
      </c>
      <c r="D6" s="2">
        <v>25000</v>
      </c>
      <c r="E6" s="4">
        <f>B6*C6*D6</f>
        <v>37500</v>
      </c>
      <c r="F6" t="s">
        <v>54</v>
      </c>
      <c r="G6" t="s">
        <v>51</v>
      </c>
      <c r="H6" t="s">
        <v>52</v>
      </c>
    </row>
    <row r="7" spans="1:8" ht="24" customHeight="1">
      <c r="A7" t="s">
        <v>55</v>
      </c>
      <c r="B7" s="10">
        <v>0.25</v>
      </c>
      <c r="C7" s="10">
        <v>3</v>
      </c>
      <c r="D7" s="2">
        <v>30000</v>
      </c>
      <c r="E7" s="4">
        <f>B7*C7*D7</f>
        <v>22500</v>
      </c>
      <c r="F7" t="s">
        <v>56</v>
      </c>
      <c r="G7" t="s">
        <v>51</v>
      </c>
      <c r="H7" t="s">
        <v>52</v>
      </c>
    </row>
    <row r="8" spans="1:8" ht="24" customHeight="1">
      <c r="A8" t="s">
        <v>57</v>
      </c>
      <c r="B8" s="10">
        <v>0.25</v>
      </c>
      <c r="C8" s="10">
        <v>3</v>
      </c>
      <c r="D8" s="2">
        <v>35000</v>
      </c>
      <c r="E8" s="4">
        <f>B8*C8*D8</f>
        <v>26250</v>
      </c>
      <c r="F8" t="s">
        <v>58</v>
      </c>
      <c r="G8" t="s">
        <v>51</v>
      </c>
      <c r="H8" t="s">
        <v>52</v>
      </c>
    </row>
    <row r="9" spans="1:8" ht="24" customHeight="1"/>
    <row r="10" spans="1:8" ht="24" customHeight="1">
      <c r="A10" t="s">
        <v>59</v>
      </c>
      <c r="D10" s="2">
        <v>5000</v>
      </c>
    </row>
    <row r="11" spans="1:8" ht="24" customHeight="1">
      <c r="A11" t="s">
        <v>60</v>
      </c>
      <c r="E11" s="4">
        <f>SUM(E5:E8)+D10</f>
        <v>136250</v>
      </c>
    </row>
    <row r="12" spans="1:8" ht="24" customHeight="1">
      <c r="A12" t="s">
        <v>61</v>
      </c>
      <c r="E12" s="9">
        <f>SUMPRODUCT(B5:B8,C5:C8)</f>
        <v>4.5</v>
      </c>
    </row>
    <row r="13" spans="1:8" ht="24" customHeight="1">
      <c r="A13" t="s">
        <v>62</v>
      </c>
      <c r="E13" t="s">
        <v>63</v>
      </c>
    </row>
    <row r="14" spans="1:8" ht="24" customHeight="1"/>
    <row r="15" spans="1:8" ht="36" customHeight="1">
      <c r="A15" s="16"/>
      <c r="B15" s="16"/>
      <c r="C15" s="16"/>
      <c r="D15" s="16"/>
      <c r="E15" s="16"/>
      <c r="F15" s="16"/>
      <c r="G15" s="16"/>
      <c r="H15" s="16"/>
    </row>
    <row r="16" spans="1:8" ht="24" customHeight="1"/>
    <row r="17" spans="1:8" ht="24" customHeight="1"/>
    <row r="18" spans="1:8" ht="30" customHeight="1">
      <c r="A18" s="1" t="s">
        <v>64</v>
      </c>
      <c r="B18" s="1" t="s">
        <v>65</v>
      </c>
      <c r="C18" s="1" t="s">
        <v>66</v>
      </c>
      <c r="D18" s="1"/>
      <c r="E18" s="1"/>
      <c r="F18" s="1"/>
      <c r="G18" s="1"/>
      <c r="H18" s="1"/>
    </row>
    <row r="19" spans="1:8" ht="24" customHeight="1">
      <c r="A19" t="s">
        <v>67</v>
      </c>
      <c r="B19" t="s">
        <v>68</v>
      </c>
      <c r="C19" t="s">
        <v>69</v>
      </c>
    </row>
    <row r="20" spans="1:8" ht="24" customHeight="1">
      <c r="A20" t="s">
        <v>70</v>
      </c>
      <c r="B20" t="s">
        <v>71</v>
      </c>
      <c r="C20" t="s">
        <v>72</v>
      </c>
    </row>
    <row r="21" spans="1:8" ht="24" customHeight="1"/>
    <row r="22" spans="1:8" ht="24" customHeight="1"/>
    <row r="23" spans="1:8" ht="24" customHeight="1"/>
    <row r="24" spans="1:8" ht="24" customHeight="1"/>
    <row r="25" spans="1:8" ht="24" customHeight="1"/>
    <row r="26" spans="1:8" ht="24" customHeight="1"/>
    <row r="27" spans="1:8" ht="24" customHeight="1"/>
    <row r="28" spans="1:8" ht="24" customHeight="1"/>
    <row r="29" spans="1:8" ht="24" customHeight="1"/>
    <row r="30" spans="1:8" ht="24" customHeight="1"/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selection activeCell="A15" sqref="A15:H15"/>
    </sheetView>
  </sheetViews>
  <sheetFormatPr defaultRowHeight="14.25"/>
  <cols>
    <col min="1" max="1" width="27" customWidth="1"/>
    <col min="2" max="2" width="21" customWidth="1"/>
    <col min="3" max="5" width="15" customWidth="1"/>
    <col min="6" max="7" width="32" customWidth="1"/>
    <col min="8" max="8" width="23" customWidth="1"/>
  </cols>
  <sheetData>
    <row r="1" spans="1:8" ht="24" customHeight="1">
      <c r="A1" s="14" t="s">
        <v>73</v>
      </c>
      <c r="B1" s="14"/>
      <c r="C1" s="14"/>
      <c r="D1" s="14"/>
      <c r="E1" s="14"/>
      <c r="F1" s="14"/>
      <c r="G1" s="14"/>
      <c r="H1" s="14"/>
    </row>
    <row r="2" spans="1:8" ht="24" customHeight="1">
      <c r="A2" s="15" t="s">
        <v>74</v>
      </c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</row>
    <row r="5" spans="1:8" ht="56.1" customHeight="1">
      <c r="A5" s="11" t="s">
        <v>83</v>
      </c>
      <c r="B5" s="11" t="s">
        <v>84</v>
      </c>
      <c r="C5" s="12">
        <v>4</v>
      </c>
      <c r="D5" s="12">
        <v>5</v>
      </c>
      <c r="E5" s="13">
        <f t="shared" ref="E5:E12" si="0">C5*D5</f>
        <v>20</v>
      </c>
      <c r="F5" s="11" t="s">
        <v>85</v>
      </c>
      <c r="G5" s="11" t="s">
        <v>86</v>
      </c>
      <c r="H5" s="11" t="s">
        <v>87</v>
      </c>
    </row>
    <row r="6" spans="1:8" ht="56.1" customHeight="1">
      <c r="A6" s="11" t="s">
        <v>88</v>
      </c>
      <c r="B6" s="11" t="s">
        <v>89</v>
      </c>
      <c r="C6" s="12">
        <v>4</v>
      </c>
      <c r="D6" s="12">
        <v>5</v>
      </c>
      <c r="E6" s="13">
        <f t="shared" si="0"/>
        <v>20</v>
      </c>
      <c r="F6" s="11" t="s">
        <v>90</v>
      </c>
      <c r="G6" s="11" t="s">
        <v>91</v>
      </c>
      <c r="H6" s="11" t="s">
        <v>87</v>
      </c>
    </row>
    <row r="7" spans="1:8" ht="56.1" customHeight="1">
      <c r="A7" s="11" t="s">
        <v>92</v>
      </c>
      <c r="B7" s="11" t="s">
        <v>93</v>
      </c>
      <c r="C7" s="12">
        <v>4</v>
      </c>
      <c r="D7" s="12">
        <v>4</v>
      </c>
      <c r="E7" s="13">
        <f t="shared" si="0"/>
        <v>16</v>
      </c>
      <c r="F7" s="11" t="s">
        <v>94</v>
      </c>
      <c r="G7" s="11" t="s">
        <v>95</v>
      </c>
      <c r="H7" s="11" t="s">
        <v>87</v>
      </c>
    </row>
    <row r="8" spans="1:8" ht="56.1" customHeight="1">
      <c r="A8" s="11" t="s">
        <v>96</v>
      </c>
      <c r="B8" s="11" t="s">
        <v>97</v>
      </c>
      <c r="C8" s="12">
        <v>3</v>
      </c>
      <c r="D8" s="12">
        <v>5</v>
      </c>
      <c r="E8" s="13">
        <f t="shared" si="0"/>
        <v>15</v>
      </c>
      <c r="F8" s="11" t="s">
        <v>98</v>
      </c>
      <c r="G8" s="11" t="s">
        <v>99</v>
      </c>
      <c r="H8" s="11" t="s">
        <v>87</v>
      </c>
    </row>
    <row r="9" spans="1:8" ht="56.1" customHeight="1">
      <c r="A9" s="11" t="s">
        <v>100</v>
      </c>
      <c r="B9" s="11" t="s">
        <v>101</v>
      </c>
      <c r="C9" s="12">
        <v>4</v>
      </c>
      <c r="D9" s="12">
        <v>5</v>
      </c>
      <c r="E9" s="13">
        <f t="shared" si="0"/>
        <v>20</v>
      </c>
      <c r="F9" s="11" t="s">
        <v>102</v>
      </c>
      <c r="G9" s="11" t="s">
        <v>103</v>
      </c>
      <c r="H9" s="11" t="s">
        <v>87</v>
      </c>
    </row>
    <row r="10" spans="1:8" ht="56.1" customHeight="1">
      <c r="A10" s="11" t="s">
        <v>104</v>
      </c>
      <c r="B10" s="11" t="s">
        <v>105</v>
      </c>
      <c r="C10" s="12">
        <v>3</v>
      </c>
      <c r="D10" s="12">
        <v>4</v>
      </c>
      <c r="E10" s="13">
        <f t="shared" si="0"/>
        <v>12</v>
      </c>
      <c r="F10" s="11" t="s">
        <v>106</v>
      </c>
      <c r="G10" s="11" t="s">
        <v>107</v>
      </c>
      <c r="H10" s="11" t="s">
        <v>87</v>
      </c>
    </row>
    <row r="11" spans="1:8" ht="56.1" customHeight="1">
      <c r="A11" s="11" t="s">
        <v>108</v>
      </c>
      <c r="B11" s="11" t="s">
        <v>109</v>
      </c>
      <c r="C11" s="12">
        <v>3</v>
      </c>
      <c r="D11" s="12">
        <v>4</v>
      </c>
      <c r="E11" s="13">
        <f t="shared" si="0"/>
        <v>12</v>
      </c>
      <c r="F11" s="11" t="s">
        <v>110</v>
      </c>
      <c r="G11" s="11" t="s">
        <v>111</v>
      </c>
      <c r="H11" s="11" t="s">
        <v>87</v>
      </c>
    </row>
    <row r="12" spans="1:8" ht="56.1" customHeight="1">
      <c r="A12" s="11" t="s">
        <v>112</v>
      </c>
      <c r="B12" s="11" t="s">
        <v>113</v>
      </c>
      <c r="C12" s="12">
        <v>4</v>
      </c>
      <c r="D12" s="12">
        <v>4</v>
      </c>
      <c r="E12" s="13">
        <f t="shared" si="0"/>
        <v>16</v>
      </c>
      <c r="F12" s="11" t="s">
        <v>114</v>
      </c>
      <c r="G12" s="11" t="s">
        <v>115</v>
      </c>
      <c r="H12" s="11" t="s">
        <v>87</v>
      </c>
    </row>
    <row r="13" spans="1:8" ht="24" customHeight="1"/>
    <row r="14" spans="1:8" ht="24" customHeight="1"/>
    <row r="15" spans="1:8" ht="36" customHeight="1">
      <c r="A15" s="16"/>
      <c r="B15" s="16"/>
      <c r="C15" s="16"/>
      <c r="D15" s="16"/>
      <c r="E15" s="16"/>
      <c r="F15" s="16"/>
      <c r="G15" s="16"/>
      <c r="H15" s="16"/>
    </row>
    <row r="16" spans="1:8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workbookViewId="0">
      <selection activeCell="A13" sqref="A13:H13"/>
    </sheetView>
  </sheetViews>
  <sheetFormatPr defaultRowHeight="14.25"/>
  <cols>
    <col min="1" max="1" width="21" customWidth="1"/>
    <col min="2" max="2" width="31" customWidth="1"/>
    <col min="3" max="3" width="37" customWidth="1"/>
    <col min="4" max="4" width="31" customWidth="1"/>
    <col min="5" max="5" width="24" customWidth="1"/>
    <col min="6" max="7" width="20" customWidth="1"/>
    <col min="8" max="8" width="22" customWidth="1"/>
  </cols>
  <sheetData>
    <row r="1" spans="1:8" ht="24" customHeight="1">
      <c r="A1" s="14" t="s">
        <v>116</v>
      </c>
      <c r="B1" s="14"/>
      <c r="C1" s="14"/>
      <c r="D1" s="14"/>
      <c r="E1" s="14"/>
      <c r="F1" s="14"/>
      <c r="G1" s="14"/>
      <c r="H1" s="14"/>
    </row>
    <row r="2" spans="1:8" ht="24" customHeight="1">
      <c r="A2" s="15" t="s">
        <v>117</v>
      </c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118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  <c r="G4" s="1" t="s">
        <v>124</v>
      </c>
      <c r="H4" s="1" t="s">
        <v>64</v>
      </c>
    </row>
    <row r="5" spans="1:8" ht="74.099999999999994" customHeight="1">
      <c r="A5" s="11" t="s">
        <v>125</v>
      </c>
      <c r="B5" s="11" t="s">
        <v>126</v>
      </c>
      <c r="C5" s="11" t="s">
        <v>127</v>
      </c>
      <c r="D5" s="11" t="s">
        <v>128</v>
      </c>
      <c r="E5" s="11" t="s">
        <v>129</v>
      </c>
      <c r="F5" s="11" t="s">
        <v>130</v>
      </c>
      <c r="G5" s="11" t="s">
        <v>131</v>
      </c>
      <c r="H5" s="11" t="s">
        <v>132</v>
      </c>
    </row>
    <row r="6" spans="1:8" ht="74.099999999999994" customHeight="1">
      <c r="A6" s="11" t="s">
        <v>133</v>
      </c>
      <c r="B6" s="11" t="s">
        <v>134</v>
      </c>
      <c r="C6" s="11" t="s">
        <v>135</v>
      </c>
      <c r="D6" s="11" t="s">
        <v>136</v>
      </c>
      <c r="E6" s="11" t="s">
        <v>137</v>
      </c>
      <c r="F6" s="11" t="s">
        <v>138</v>
      </c>
      <c r="G6" s="11" t="s">
        <v>131</v>
      </c>
      <c r="H6" s="11" t="s">
        <v>132</v>
      </c>
    </row>
    <row r="7" spans="1:8" ht="74.099999999999994" customHeight="1">
      <c r="A7" s="11" t="s">
        <v>139</v>
      </c>
      <c r="B7" s="11" t="s">
        <v>140</v>
      </c>
      <c r="C7" s="11" t="s">
        <v>141</v>
      </c>
      <c r="D7" s="11" t="s">
        <v>142</v>
      </c>
      <c r="E7" s="11" t="s">
        <v>143</v>
      </c>
      <c r="F7" s="11" t="s">
        <v>144</v>
      </c>
      <c r="G7" s="11" t="s">
        <v>131</v>
      </c>
      <c r="H7" s="11" t="s">
        <v>132</v>
      </c>
    </row>
    <row r="8" spans="1:8" ht="74.099999999999994" customHeight="1">
      <c r="A8" s="11" t="s">
        <v>145</v>
      </c>
      <c r="B8" s="11" t="s">
        <v>146</v>
      </c>
      <c r="C8" s="11" t="s">
        <v>147</v>
      </c>
      <c r="D8" s="11" t="s">
        <v>148</v>
      </c>
      <c r="E8" s="11" t="s">
        <v>149</v>
      </c>
      <c r="F8" s="11" t="s">
        <v>150</v>
      </c>
      <c r="G8" s="11" t="s">
        <v>131</v>
      </c>
      <c r="H8" s="11" t="s">
        <v>132</v>
      </c>
    </row>
    <row r="9" spans="1:8" ht="74.099999999999994" customHeight="1">
      <c r="A9" s="11" t="s">
        <v>151</v>
      </c>
      <c r="B9" s="11" t="s">
        <v>152</v>
      </c>
      <c r="C9" s="11" t="s">
        <v>153</v>
      </c>
      <c r="D9" s="11" t="s">
        <v>154</v>
      </c>
      <c r="E9" s="11" t="s">
        <v>155</v>
      </c>
      <c r="F9" s="11" t="s">
        <v>156</v>
      </c>
      <c r="G9" s="11" t="s">
        <v>131</v>
      </c>
      <c r="H9" s="11" t="s">
        <v>132</v>
      </c>
    </row>
    <row r="10" spans="1:8" ht="74.099999999999994" customHeight="1">
      <c r="A10" s="11" t="s">
        <v>157</v>
      </c>
      <c r="B10" s="11" t="s">
        <v>158</v>
      </c>
      <c r="C10" s="11" t="s">
        <v>159</v>
      </c>
      <c r="D10" s="11" t="s">
        <v>160</v>
      </c>
      <c r="E10" s="11" t="s">
        <v>161</v>
      </c>
      <c r="F10" s="11" t="s">
        <v>162</v>
      </c>
      <c r="G10" s="11" t="s">
        <v>131</v>
      </c>
      <c r="H10" s="11" t="s">
        <v>132</v>
      </c>
    </row>
    <row r="11" spans="1:8" ht="24" customHeight="1"/>
    <row r="12" spans="1:8" ht="24" customHeight="1"/>
    <row r="13" spans="1:8" ht="36" customHeight="1">
      <c r="A13" s="16"/>
      <c r="B13" s="16"/>
      <c r="C13" s="16"/>
      <c r="D13" s="16"/>
      <c r="E13" s="16"/>
      <c r="F13" s="16"/>
      <c r="G13" s="16"/>
      <c r="H13" s="16"/>
    </row>
    <row r="14" spans="1:8" ht="24" customHeight="1"/>
    <row r="15" spans="1:8" ht="24" customHeight="1"/>
    <row r="16" spans="1:8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3">
    <mergeCell ref="A1:H1"/>
    <mergeCell ref="A2:H2"/>
    <mergeCell ref="A13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workbookViewId="0">
      <selection activeCell="B9" sqref="B9"/>
    </sheetView>
  </sheetViews>
  <sheetFormatPr defaultRowHeight="14.25"/>
  <cols>
    <col min="1" max="1" width="22" customWidth="1"/>
    <col min="2" max="2" width="32" customWidth="1"/>
    <col min="3" max="3" width="38" customWidth="1"/>
    <col min="4" max="4" width="47" customWidth="1"/>
    <col min="5" max="5" width="28" customWidth="1"/>
    <col min="6" max="6" width="24" customWidth="1"/>
    <col min="7" max="8" width="20" customWidth="1"/>
  </cols>
  <sheetData>
    <row r="1" spans="1:8" ht="24" customHeight="1">
      <c r="A1" s="14" t="s">
        <v>163</v>
      </c>
      <c r="B1" s="14"/>
      <c r="C1" s="14"/>
      <c r="D1" s="14"/>
      <c r="E1" s="14"/>
      <c r="F1" s="14"/>
      <c r="G1" s="14"/>
      <c r="H1" s="14"/>
    </row>
    <row r="2" spans="1:8" ht="24" customHeight="1">
      <c r="A2" s="15"/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164</v>
      </c>
      <c r="B4" s="1" t="s">
        <v>165</v>
      </c>
      <c r="C4" s="1" t="s">
        <v>166</v>
      </c>
      <c r="D4" s="1" t="s">
        <v>167</v>
      </c>
      <c r="E4" s="1" t="s">
        <v>9</v>
      </c>
      <c r="F4" s="1" t="s">
        <v>123</v>
      </c>
      <c r="G4" s="1" t="s">
        <v>168</v>
      </c>
      <c r="H4" s="1" t="s">
        <v>169</v>
      </c>
    </row>
    <row r="5" spans="1:8" ht="72" customHeight="1">
      <c r="A5" s="11" t="s">
        <v>170</v>
      </c>
      <c r="B5" s="11" t="s">
        <v>171</v>
      </c>
      <c r="C5" s="11" t="s">
        <v>172</v>
      </c>
      <c r="D5" s="11" t="s">
        <v>173</v>
      </c>
      <c r="E5" s="11" t="s">
        <v>174</v>
      </c>
      <c r="F5" s="11" t="s">
        <v>175</v>
      </c>
      <c r="G5" s="11" t="s">
        <v>176</v>
      </c>
      <c r="H5" s="11" t="s">
        <v>177</v>
      </c>
    </row>
    <row r="6" spans="1:8" ht="72" customHeight="1">
      <c r="A6" s="11" t="s">
        <v>178</v>
      </c>
      <c r="B6" s="11" t="s">
        <v>179</v>
      </c>
      <c r="C6" s="11" t="s">
        <v>180</v>
      </c>
      <c r="D6" s="11" t="s">
        <v>181</v>
      </c>
      <c r="E6" s="11" t="s">
        <v>182</v>
      </c>
      <c r="F6" s="11" t="s">
        <v>183</v>
      </c>
      <c r="G6" s="11" t="s">
        <v>176</v>
      </c>
      <c r="H6" s="11" t="s">
        <v>184</v>
      </c>
    </row>
    <row r="7" spans="1:8" ht="72" customHeight="1">
      <c r="A7" s="11" t="s">
        <v>185</v>
      </c>
      <c r="B7" s="11" t="s">
        <v>186</v>
      </c>
      <c r="C7" s="11" t="s">
        <v>187</v>
      </c>
      <c r="D7" s="11" t="s">
        <v>188</v>
      </c>
      <c r="E7" s="11" t="s">
        <v>189</v>
      </c>
      <c r="F7" s="11" t="s">
        <v>190</v>
      </c>
      <c r="G7" s="11" t="s">
        <v>176</v>
      </c>
      <c r="H7" s="11" t="s">
        <v>191</v>
      </c>
    </row>
    <row r="8" spans="1:8" ht="72" customHeight="1">
      <c r="A8" s="11" t="s">
        <v>192</v>
      </c>
      <c r="B8" s="11" t="s">
        <v>193</v>
      </c>
      <c r="C8" s="11" t="s">
        <v>194</v>
      </c>
      <c r="D8" s="11" t="s">
        <v>195</v>
      </c>
      <c r="E8" s="11" t="s">
        <v>196</v>
      </c>
      <c r="F8" s="11" t="s">
        <v>197</v>
      </c>
      <c r="G8" s="11" t="s">
        <v>176</v>
      </c>
      <c r="H8" s="11" t="s">
        <v>191</v>
      </c>
    </row>
    <row r="9" spans="1:8" ht="72" customHeight="1">
      <c r="A9" s="11" t="s">
        <v>198</v>
      </c>
      <c r="B9" s="11" t="s">
        <v>199</v>
      </c>
      <c r="C9" s="11" t="s">
        <v>200</v>
      </c>
      <c r="D9" s="11" t="s">
        <v>201</v>
      </c>
      <c r="E9" s="11" t="s">
        <v>202</v>
      </c>
      <c r="F9" s="11" t="s">
        <v>203</v>
      </c>
      <c r="G9" s="11" t="s">
        <v>176</v>
      </c>
      <c r="H9" s="11" t="s">
        <v>204</v>
      </c>
    </row>
    <row r="10" spans="1:8" ht="72" customHeight="1">
      <c r="A10" s="11" t="s">
        <v>205</v>
      </c>
      <c r="B10" s="11" t="s">
        <v>206</v>
      </c>
      <c r="C10" s="11" t="s">
        <v>207</v>
      </c>
      <c r="D10" s="11" t="s">
        <v>208</v>
      </c>
      <c r="E10" s="11" t="s">
        <v>202</v>
      </c>
      <c r="F10" s="11" t="s">
        <v>209</v>
      </c>
      <c r="G10" s="11" t="s">
        <v>176</v>
      </c>
      <c r="H10" s="11" t="s">
        <v>204</v>
      </c>
    </row>
    <row r="11" spans="1:8" ht="72" customHeight="1">
      <c r="A11" s="11" t="s">
        <v>210</v>
      </c>
      <c r="B11" s="11" t="s">
        <v>211</v>
      </c>
      <c r="C11" s="11" t="s">
        <v>212</v>
      </c>
      <c r="D11" s="11" t="s">
        <v>213</v>
      </c>
      <c r="E11" s="11" t="s">
        <v>214</v>
      </c>
      <c r="F11" s="11" t="s">
        <v>215</v>
      </c>
      <c r="G11" s="11" t="s">
        <v>176</v>
      </c>
      <c r="H11" s="11" t="s">
        <v>216</v>
      </c>
    </row>
    <row r="12" spans="1:8" ht="72" customHeight="1">
      <c r="A12" s="11" t="s">
        <v>217</v>
      </c>
      <c r="B12" s="11" t="s">
        <v>218</v>
      </c>
      <c r="C12" s="11" t="s">
        <v>219</v>
      </c>
      <c r="D12" s="11" t="s">
        <v>220</v>
      </c>
      <c r="E12" s="11" t="s">
        <v>214</v>
      </c>
      <c r="F12" s="11" t="s">
        <v>221</v>
      </c>
      <c r="G12" s="11" t="s">
        <v>176</v>
      </c>
      <c r="H12" s="11" t="s">
        <v>216</v>
      </c>
    </row>
    <row r="13" spans="1:8" ht="72" customHeight="1">
      <c r="A13" s="11" t="s">
        <v>222</v>
      </c>
      <c r="B13" s="11" t="s">
        <v>223</v>
      </c>
      <c r="C13" s="11" t="s">
        <v>224</v>
      </c>
      <c r="D13" s="11" t="s">
        <v>225</v>
      </c>
      <c r="E13" s="11" t="s">
        <v>226</v>
      </c>
      <c r="F13" s="11" t="s">
        <v>215</v>
      </c>
      <c r="G13" s="11" t="s">
        <v>176</v>
      </c>
      <c r="H13" s="11" t="s">
        <v>216</v>
      </c>
    </row>
    <row r="14" spans="1:8" ht="24" customHeight="1"/>
    <row r="15" spans="1:8" ht="24" customHeight="1"/>
    <row r="16" spans="1:8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5"/>
  <sheetViews>
    <sheetView tabSelected="1" workbookViewId="0">
      <selection activeCell="A21" sqref="A21"/>
    </sheetView>
  </sheetViews>
  <sheetFormatPr defaultRowHeight="14.25"/>
  <cols>
    <col min="1" max="1" width="30" customWidth="1"/>
    <col min="2" max="3" width="24" customWidth="1"/>
    <col min="4" max="4" width="26" customWidth="1"/>
    <col min="5" max="5" width="28" customWidth="1"/>
    <col min="6" max="6" width="25" customWidth="1"/>
    <col min="7" max="8" width="22" customWidth="1"/>
  </cols>
  <sheetData>
    <row r="1" spans="1:8" ht="24" customHeight="1">
      <c r="A1" s="14" t="s">
        <v>227</v>
      </c>
      <c r="B1" s="14"/>
      <c r="C1" s="14"/>
      <c r="D1" s="14"/>
      <c r="E1" s="14"/>
      <c r="F1" s="14"/>
      <c r="G1" s="14"/>
      <c r="H1" s="14"/>
    </row>
    <row r="2" spans="1:8" ht="24" customHeight="1">
      <c r="A2" s="15"/>
      <c r="B2" s="15"/>
      <c r="C2" s="15"/>
      <c r="D2" s="15"/>
      <c r="E2" s="15"/>
      <c r="F2" s="15"/>
      <c r="G2" s="15"/>
      <c r="H2" s="15"/>
    </row>
    <row r="3" spans="1:8" ht="24" customHeight="1"/>
    <row r="4" spans="1:8" ht="30" customHeight="1">
      <c r="A4" s="1" t="s">
        <v>228</v>
      </c>
      <c r="B4" s="1" t="s">
        <v>229</v>
      </c>
      <c r="C4" s="1" t="s">
        <v>230</v>
      </c>
      <c r="D4" s="1" t="s">
        <v>231</v>
      </c>
      <c r="E4" s="1"/>
      <c r="F4" s="1"/>
      <c r="G4" s="1"/>
      <c r="H4" s="1"/>
    </row>
    <row r="5" spans="1:8" ht="36" customHeight="1">
      <c r="A5" t="s">
        <v>30</v>
      </c>
      <c r="B5" s="4">
        <f>'Scenario &amp; Weights'!B6</f>
        <v>125411.93634989251</v>
      </c>
      <c r="C5" s="11" t="s">
        <v>232</v>
      </c>
      <c r="D5" s="11"/>
      <c r="E5" s="11"/>
      <c r="F5" s="11"/>
      <c r="G5" s="11"/>
      <c r="H5" s="11"/>
    </row>
    <row r="6" spans="1:8" ht="36" customHeight="1">
      <c r="A6" t="s">
        <v>233</v>
      </c>
      <c r="B6" s="4">
        <v>268849.00349999999</v>
      </c>
      <c r="C6" s="11" t="s">
        <v>234</v>
      </c>
      <c r="D6" s="11"/>
      <c r="E6" s="11"/>
      <c r="F6" s="11"/>
      <c r="G6" s="11"/>
      <c r="H6" s="11"/>
    </row>
    <row r="7" spans="1:8" ht="36" customHeight="1">
      <c r="A7" t="s">
        <v>235</v>
      </c>
      <c r="B7" s="4">
        <f>'Scenario &amp; Weights'!E9</f>
        <v>164030.27396724842</v>
      </c>
      <c r="C7" s="11" t="s">
        <v>236</v>
      </c>
      <c r="D7" s="11"/>
      <c r="E7" s="11"/>
      <c r="F7" s="11"/>
      <c r="G7" s="11"/>
      <c r="H7" s="11"/>
    </row>
    <row r="8" spans="1:8" ht="36" customHeight="1">
      <c r="A8" t="s">
        <v>237</v>
      </c>
      <c r="B8" s="4">
        <f>'Scenario &amp; Weights'!B20</f>
        <v>84653.057036177444</v>
      </c>
      <c r="C8" s="11" t="s">
        <v>238</v>
      </c>
      <c r="D8" s="11"/>
      <c r="E8" s="11"/>
      <c r="F8" s="11"/>
      <c r="G8" s="11"/>
      <c r="H8" s="11"/>
    </row>
    <row r="9" spans="1:8" ht="36" customHeight="1">
      <c r="A9" t="s">
        <v>239</v>
      </c>
      <c r="B9" s="9">
        <f>'Revenue Sensitivity'!B20</f>
        <v>186</v>
      </c>
      <c r="C9" s="11" t="s">
        <v>240</v>
      </c>
      <c r="D9" s="11"/>
      <c r="E9" s="11"/>
      <c r="F9" s="11"/>
      <c r="G9" s="11"/>
      <c r="H9" s="11"/>
    </row>
    <row r="10" spans="1:8" ht="24" customHeight="1"/>
    <row r="11" spans="1:8" ht="24" customHeight="1"/>
    <row r="12" spans="1:8" ht="30" customHeight="1">
      <c r="A12" s="1" t="s">
        <v>241</v>
      </c>
      <c r="B12" s="1" t="s">
        <v>242</v>
      </c>
      <c r="C12" s="1" t="s">
        <v>243</v>
      </c>
      <c r="D12" s="1"/>
      <c r="E12" s="1"/>
      <c r="F12" s="1"/>
      <c r="G12" s="1"/>
      <c r="H12" s="1"/>
    </row>
    <row r="13" spans="1:8" ht="44.1" customHeight="1">
      <c r="A13" s="11" t="s">
        <v>244</v>
      </c>
      <c r="B13" s="11" t="s">
        <v>245</v>
      </c>
      <c r="C13" s="11" t="s">
        <v>246</v>
      </c>
      <c r="D13" s="11"/>
      <c r="E13" s="11"/>
      <c r="F13" s="11"/>
      <c r="G13" s="11"/>
      <c r="H13" s="11"/>
    </row>
    <row r="14" spans="1:8" ht="44.1" customHeight="1">
      <c r="A14" s="11" t="s">
        <v>247</v>
      </c>
      <c r="B14" s="11" t="s">
        <v>248</v>
      </c>
      <c r="C14" s="11" t="s">
        <v>249</v>
      </c>
      <c r="D14" s="11"/>
      <c r="E14" s="11"/>
      <c r="F14" s="11"/>
      <c r="G14" s="11"/>
      <c r="H14" s="11"/>
    </row>
    <row r="15" spans="1:8" ht="44.1" customHeight="1">
      <c r="A15" s="11" t="s">
        <v>250</v>
      </c>
      <c r="B15" s="11" t="s">
        <v>251</v>
      </c>
      <c r="C15" s="11" t="s">
        <v>252</v>
      </c>
      <c r="D15" s="11"/>
      <c r="E15" s="11"/>
      <c r="F15" s="11"/>
      <c r="G15" s="11"/>
      <c r="H15" s="11"/>
    </row>
    <row r="16" spans="1:8" ht="44.1" customHeight="1">
      <c r="A16" s="11" t="s">
        <v>253</v>
      </c>
      <c r="B16" s="11" t="s">
        <v>254</v>
      </c>
      <c r="C16" s="11" t="s">
        <v>255</v>
      </c>
      <c r="D16" s="11"/>
      <c r="E16" s="11"/>
      <c r="F16" s="11"/>
      <c r="G16" s="11"/>
      <c r="H16" s="11"/>
    </row>
    <row r="17" spans="1:8" ht="24" customHeight="1"/>
    <row r="18" spans="1:8" ht="24" customHeight="1"/>
    <row r="19" spans="1:8" ht="36" customHeight="1">
      <c r="A19" s="16"/>
      <c r="B19" s="16"/>
      <c r="C19" s="16"/>
      <c r="D19" s="16"/>
      <c r="E19" s="16"/>
      <c r="F19" s="16"/>
      <c r="G19" s="16"/>
      <c r="H19" s="16"/>
    </row>
    <row r="20" spans="1:8" ht="24" customHeight="1"/>
    <row r="21" spans="1:8" ht="24" customHeight="1"/>
    <row r="22" spans="1:8" ht="24" customHeight="1"/>
    <row r="23" spans="1:8" ht="24" customHeight="1"/>
    <row r="24" spans="1:8" ht="24" customHeight="1"/>
    <row r="25" spans="1:8" ht="24" customHeight="1"/>
    <row r="26" spans="1:8" ht="24" customHeight="1"/>
    <row r="27" spans="1:8" ht="24" customHeight="1"/>
    <row r="28" spans="1:8" ht="24" customHeight="1"/>
    <row r="29" spans="1:8" ht="24" customHeight="1"/>
    <row r="30" spans="1:8" ht="24" customHeight="1"/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</sheetData>
  <mergeCells count="3">
    <mergeCell ref="A1:H1"/>
    <mergeCell ref="A2:H2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 &amp; Weights</vt:lpstr>
      <vt:lpstr>Revenue Sensitivity</vt:lpstr>
      <vt:lpstr>Pilot Capacity</vt:lpstr>
      <vt:lpstr>Risk Register</vt:lpstr>
      <vt:lpstr>Investment Gates</vt:lpstr>
      <vt:lpstr>Evidence &amp; Sources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Kampani</cp:lastModifiedBy>
  <dcterms:modified xsi:type="dcterms:W3CDTF">2026-10-30T02:08:19Z</dcterms:modified>
</cp:coreProperties>
</file>